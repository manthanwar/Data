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\World\Ukraine\"/>
    </mc:Choice>
  </mc:AlternateContent>
  <xr:revisionPtr revIDLastSave="0" documentId="13_ncr:1_{6D828C2A-3C7B-4912-BD5E-012726EDE320}" xr6:coauthVersionLast="47" xr6:coauthVersionMax="47" xr10:uidLastSave="{00000000-0000-0000-0000-000000000000}"/>
  <bookViews>
    <workbookView xWindow="-120" yWindow="-120" windowWidth="29040" windowHeight="15720" activeTab="1" xr2:uid="{C9D483B5-92C5-4E01-9790-186ADD7EF26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F27" i="2"/>
  <c r="E27" i="2"/>
  <c r="B27" i="2"/>
  <c r="C28" i="2" s="1"/>
  <c r="C27" i="2"/>
  <c r="D27" i="2"/>
  <c r="G3" i="2"/>
  <c r="D3" i="2"/>
  <c r="G10" i="2"/>
  <c r="D10" i="2"/>
  <c r="G6" i="2"/>
  <c r="D6" i="2"/>
  <c r="G25" i="2"/>
  <c r="F26" i="2"/>
  <c r="C26" i="2"/>
  <c r="G17" i="2"/>
  <c r="D17" i="2"/>
  <c r="D5" i="2"/>
  <c r="G5" i="2"/>
  <c r="F24" i="2"/>
  <c r="F23" i="2"/>
  <c r="F22" i="2"/>
  <c r="F21" i="2"/>
  <c r="F19" i="2"/>
  <c r="F18" i="2"/>
  <c r="F15" i="2"/>
  <c r="F13" i="2"/>
  <c r="F12" i="2"/>
  <c r="F11" i="2"/>
  <c r="F8" i="2"/>
  <c r="F4" i="2"/>
  <c r="F2" i="2"/>
  <c r="G20" i="2"/>
  <c r="G16" i="2"/>
  <c r="G14" i="2"/>
  <c r="G9" i="2"/>
  <c r="G7" i="2"/>
  <c r="E28" i="2"/>
  <c r="C4" i="2"/>
  <c r="D7" i="2"/>
  <c r="C8" i="2"/>
  <c r="D9" i="2"/>
  <c r="C11" i="2"/>
  <c r="C12" i="2"/>
  <c r="C13" i="2"/>
  <c r="D14" i="2"/>
  <c r="C15" i="2"/>
  <c r="D16" i="2"/>
  <c r="C18" i="2"/>
  <c r="C19" i="2"/>
  <c r="D20" i="2"/>
  <c r="C21" i="2"/>
  <c r="C22" i="2"/>
  <c r="C23" i="2"/>
  <c r="C24" i="2"/>
  <c r="D25" i="2"/>
  <c r="C2" i="2"/>
  <c r="B28" i="2" l="1"/>
  <c r="D28" i="2"/>
  <c r="G28" i="2"/>
  <c r="F28" i="2"/>
</calcChain>
</file>

<file path=xl/sharedStrings.xml><?xml version="1.0" encoding="utf-8"?>
<sst xmlns="http://schemas.openxmlformats.org/spreadsheetml/2006/main" count="124" uniqueCount="121">
  <si>
    <t>Ranking</t>
  </si>
  <si>
    <t>Oblast</t>
  </si>
  <si>
    <t>Population (2022)[5]</t>
  </si>
  <si>
    <t>Population (2012)</t>
  </si>
  <si>
    <t>Urban population (2012)</t>
  </si>
  <si>
    <t>Rural population (2012)</t>
  </si>
  <si>
    <t>N/A</t>
  </si>
  <si>
    <t>Sevastopol</t>
  </si>
  <si>
    <t>Donetsk Oblast[6]</t>
  </si>
  <si>
    <t>Dnipropetrovsk Oblast[7]</t>
  </si>
  <si>
    <t>Kyiv[8]</t>
  </si>
  <si>
    <t>Kharkiv Oblast[9]</t>
  </si>
  <si>
    <t>Lviv Oblast[10]</t>
  </si>
  <si>
    <t>Odesa Oblast[11]</t>
  </si>
  <si>
    <t>Luhansk Oblast[6]</t>
  </si>
  <si>
    <t>Autonomous Republic of Crimea[6]</t>
  </si>
  <si>
    <t>Zaporizhzhia Oblast[12]</t>
  </si>
  <si>
    <t>Kyiv Oblast[13]</t>
  </si>
  <si>
    <t>Vinnytsia Oblast[14]</t>
  </si>
  <si>
    <t>Poltava Oblast[15]</t>
  </si>
  <si>
    <t>Ivano-Frankivsk Oblast[16]</t>
  </si>
  <si>
    <t>Khmelnytskyi Oblast[17]</t>
  </si>
  <si>
    <t>Zakarpattia Oblast[18]</t>
  </si>
  <si>
    <t>Zhytomyr Oblast[19]</t>
  </si>
  <si>
    <t>Cherkasy Oblast[20]</t>
  </si>
  <si>
    <t>Rivne Oblast[21]</t>
  </si>
  <si>
    <t>Mykolaiv Oblast[22]</t>
  </si>
  <si>
    <t>Sumy Oblast[19]</t>
  </si>
  <si>
    <t>Ternopil Oblast[23]</t>
  </si>
  <si>
    <t>Kherson Oblast[24]</t>
  </si>
  <si>
    <t>Chernihiv Oblast[25]</t>
  </si>
  <si>
    <t>Volyn Oblast[26]</t>
  </si>
  <si>
    <t>Kirovohrad Oblast[27]</t>
  </si>
  <si>
    <t>Chernivtsi Oblast[28]</t>
  </si>
  <si>
    <t>https://en.wikipedia.org/wiki/List_of_Ukrainian_oblasts_and_territories_by_population</t>
  </si>
  <si>
    <t>Region</t>
  </si>
  <si>
    <t>Population (2022)</t>
  </si>
  <si>
    <t>Pop. density</t>
  </si>
  <si>
    <t>Administrative center</t>
  </si>
  <si>
    <t>Raions</t>
  </si>
  <si>
    <t>Hromadas</t>
  </si>
  <si>
    <t>License plate prefix</t>
  </si>
  <si>
    <t>Cherkasy Oblast</t>
  </si>
  <si>
    <t>Cherkasy</t>
  </si>
  <si>
    <t>CA, IA</t>
  </si>
  <si>
    <t>Chernihiv Oblast</t>
  </si>
  <si>
    <t>Chernihiv</t>
  </si>
  <si>
    <t>CB, IB</t>
  </si>
  <si>
    <t>Chernivtsi Oblast</t>
  </si>
  <si>
    <t>Chernivtsi</t>
  </si>
  <si>
    <t>CE, IE</t>
  </si>
  <si>
    <t>Dnipropetrovsk Oblast</t>
  </si>
  <si>
    <t>Dnipro</t>
  </si>
  <si>
    <t>AE, KE</t>
  </si>
  <si>
    <t>Donetsk Oblast</t>
  </si>
  <si>
    <t>Donetsk (Kramatorsk)</t>
  </si>
  <si>
    <t>AH, KH</t>
  </si>
  <si>
    <t>Ivano-Frankivsk Oblast</t>
  </si>
  <si>
    <t>Ivano-Frankivsk</t>
  </si>
  <si>
    <t>AT, KT</t>
  </si>
  <si>
    <t>Kharkiv Oblast</t>
  </si>
  <si>
    <t>Kharkiv</t>
  </si>
  <si>
    <t>AX, KX</t>
  </si>
  <si>
    <t>Kherson Oblast</t>
  </si>
  <si>
    <t>Kherson</t>
  </si>
  <si>
    <t>BT, HT</t>
  </si>
  <si>
    <t>Khmelnytskyi Oblast</t>
  </si>
  <si>
    <t>Khmelnytskyi</t>
  </si>
  <si>
    <t>BX, HX</t>
  </si>
  <si>
    <t>Kirovohrad Oblast</t>
  </si>
  <si>
    <t>Kropyvnytskyi</t>
  </si>
  <si>
    <t>BA, HA</t>
  </si>
  <si>
    <t>Kyiv Oblast</t>
  </si>
  <si>
    <t>Kyiv</t>
  </si>
  <si>
    <t>AI, KI</t>
  </si>
  <si>
    <t>Luhansk Oblast</t>
  </si>
  <si>
    <t>Luhansk (Sievierodonetsk)</t>
  </si>
  <si>
    <t>BB, HB</t>
  </si>
  <si>
    <t>Lviv Oblast</t>
  </si>
  <si>
    <t>Lviv</t>
  </si>
  <si>
    <t>BC, HC</t>
  </si>
  <si>
    <t>Mykolaiv Oblast</t>
  </si>
  <si>
    <t>Mykolaiv</t>
  </si>
  <si>
    <t>BE, HE</t>
  </si>
  <si>
    <t>Odesa Oblast</t>
  </si>
  <si>
    <t>Odesa</t>
  </si>
  <si>
    <t>BH, HH</t>
  </si>
  <si>
    <t>Poltava Oblast</t>
  </si>
  <si>
    <t>Poltava</t>
  </si>
  <si>
    <t>BI, HI</t>
  </si>
  <si>
    <t>Rivne Oblast</t>
  </si>
  <si>
    <t>Rivne</t>
  </si>
  <si>
    <t>BK, HK</t>
  </si>
  <si>
    <t>Sumy Oblast</t>
  </si>
  <si>
    <t>Sumy</t>
  </si>
  <si>
    <t>BM, HM</t>
  </si>
  <si>
    <t>Ternopil Oblast</t>
  </si>
  <si>
    <t>Ternopil</t>
  </si>
  <si>
    <t>BO, HO</t>
  </si>
  <si>
    <t>Vinnytsia Oblast</t>
  </si>
  <si>
    <t>Vinnytsia</t>
  </si>
  <si>
    <t>AB, KB</t>
  </si>
  <si>
    <t>Volyn Oblast</t>
  </si>
  <si>
    <t>Lutsk</t>
  </si>
  <si>
    <t>AC, KC</t>
  </si>
  <si>
    <t>Zakarpattia Oblast</t>
  </si>
  <si>
    <t>Uzhhorod</t>
  </si>
  <si>
    <t>AO, KO</t>
  </si>
  <si>
    <t>Zaporizhzhia Oblast</t>
  </si>
  <si>
    <t>Zaporizhzhia</t>
  </si>
  <si>
    <t>AP, KP</t>
  </si>
  <si>
    <t>Zhytomyr Oblast</t>
  </si>
  <si>
    <t>Zhytomyr</t>
  </si>
  <si>
    <t>AM, KM</t>
  </si>
  <si>
    <t>Area (km2)</t>
  </si>
  <si>
    <t>https://en.wikipedia.org/wiki/Oblasts_of_Ukraine</t>
  </si>
  <si>
    <t>Ukraine Held</t>
  </si>
  <si>
    <t>Russia Held</t>
  </si>
  <si>
    <t>Percentage</t>
  </si>
  <si>
    <t>Crimea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</si>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</sst>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048D-4A98-4F9E-8654-567DB3D54561}">
  <dimension ref="A1:H28"/>
  <sheetViews>
    <sheetView zoomScale="250" zoomScaleNormal="250" workbookViewId="0"/>
  </sheetViews>
  <sheetFormatPr defaultRowHeight="15" x14ac:dyDescent="0.25"/>
  <cols>
    <col min="1" max="1" width="8" bestFit="1" customWidth="1"/>
    <col min="2" max="2" width="32.7109375" bestFit="1" customWidth="1"/>
    <col min="3" max="3" width="19.28515625" bestFit="1" customWidth="1"/>
    <col min="4" max="4" width="16.7109375" bestFit="1" customWidth="1"/>
    <col min="5" max="5" width="22.7109375" bestFit="1" customWidth="1"/>
    <col min="6" max="6" width="2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34</v>
      </c>
    </row>
    <row r="2" spans="1:8" x14ac:dyDescent="0.25">
      <c r="A2">
        <v>1</v>
      </c>
      <c r="B2" t="s">
        <v>8</v>
      </c>
      <c r="C2" s="2">
        <v>4059372</v>
      </c>
      <c r="D2" s="2">
        <v>4387702</v>
      </c>
      <c r="E2" s="2">
        <v>3973317</v>
      </c>
      <c r="F2" s="2">
        <v>414385</v>
      </c>
    </row>
    <row r="3" spans="1:8" x14ac:dyDescent="0.25">
      <c r="A3">
        <v>2</v>
      </c>
      <c r="B3" t="s">
        <v>9</v>
      </c>
      <c r="C3" s="2">
        <v>3096485</v>
      </c>
      <c r="D3" s="2">
        <v>3258705</v>
      </c>
      <c r="E3" s="2">
        <v>2724872</v>
      </c>
      <c r="F3" s="2">
        <v>533833</v>
      </c>
    </row>
    <row r="4" spans="1:8" x14ac:dyDescent="0.25">
      <c r="A4">
        <v>3</v>
      </c>
      <c r="B4" t="s">
        <v>10</v>
      </c>
      <c r="C4" s="2">
        <v>2952301</v>
      </c>
      <c r="D4" s="2">
        <v>2900920</v>
      </c>
      <c r="E4" s="2">
        <v>2900920</v>
      </c>
      <c r="F4" t="s">
        <v>6</v>
      </c>
    </row>
    <row r="5" spans="1:8" x14ac:dyDescent="0.25">
      <c r="A5">
        <v>4</v>
      </c>
      <c r="B5" t="s">
        <v>11</v>
      </c>
      <c r="C5" s="2">
        <v>2598961</v>
      </c>
      <c r="D5" s="2">
        <v>2720342</v>
      </c>
      <c r="E5" s="2">
        <v>2193027</v>
      </c>
      <c r="F5" s="2">
        <v>527315</v>
      </c>
    </row>
    <row r="6" spans="1:8" x14ac:dyDescent="0.25">
      <c r="A6">
        <v>5</v>
      </c>
      <c r="B6" t="s">
        <v>12</v>
      </c>
      <c r="C6" s="2">
        <v>2478133</v>
      </c>
      <c r="D6" s="2">
        <v>2535476</v>
      </c>
      <c r="E6" s="2">
        <v>1545628</v>
      </c>
      <c r="F6" s="2">
        <v>989848</v>
      </c>
    </row>
    <row r="7" spans="1:8" x14ac:dyDescent="0.25">
      <c r="A7">
        <v>6</v>
      </c>
      <c r="B7" t="s">
        <v>13</v>
      </c>
      <c r="C7" s="2">
        <v>2351392</v>
      </c>
      <c r="D7" s="2">
        <v>2387282</v>
      </c>
      <c r="E7" s="2">
        <v>1592602</v>
      </c>
      <c r="F7" s="2">
        <v>794680</v>
      </c>
    </row>
    <row r="8" spans="1:8" x14ac:dyDescent="0.25">
      <c r="A8">
        <v>7</v>
      </c>
      <c r="B8" t="s">
        <v>14</v>
      </c>
      <c r="C8" s="2">
        <v>2102921</v>
      </c>
      <c r="D8" s="2">
        <v>2263676</v>
      </c>
      <c r="E8" s="2">
        <v>1963808</v>
      </c>
      <c r="F8" s="2">
        <v>299868</v>
      </c>
    </row>
    <row r="9" spans="1:8" x14ac:dyDescent="0.25">
      <c r="A9">
        <v>8</v>
      </c>
      <c r="B9" t="s">
        <v>15</v>
      </c>
      <c r="D9" s="2">
        <v>1963770</v>
      </c>
      <c r="E9" s="2">
        <v>1231648</v>
      </c>
      <c r="F9" s="2">
        <v>732122</v>
      </c>
    </row>
    <row r="10" spans="1:8" x14ac:dyDescent="0.25">
      <c r="A10">
        <v>9</v>
      </c>
      <c r="B10" t="s">
        <v>16</v>
      </c>
      <c r="C10" s="2">
        <v>1638462</v>
      </c>
      <c r="D10" s="2">
        <v>1755663</v>
      </c>
      <c r="E10" s="2">
        <v>1355126</v>
      </c>
      <c r="F10" s="2">
        <v>400537</v>
      </c>
    </row>
    <row r="11" spans="1:8" x14ac:dyDescent="0.25">
      <c r="A11">
        <v>10</v>
      </c>
      <c r="B11" t="s">
        <v>17</v>
      </c>
      <c r="C11" s="2">
        <v>1795079</v>
      </c>
      <c r="D11" s="2">
        <v>1731673</v>
      </c>
      <c r="E11" s="2">
        <v>1077600</v>
      </c>
      <c r="F11" s="2">
        <v>654073</v>
      </c>
    </row>
    <row r="12" spans="1:8" x14ac:dyDescent="0.25">
      <c r="A12">
        <v>11</v>
      </c>
      <c r="B12" t="s">
        <v>18</v>
      </c>
      <c r="C12" s="2">
        <v>1509515</v>
      </c>
      <c r="D12" s="2">
        <v>1604270</v>
      </c>
      <c r="E12" s="2">
        <v>813906</v>
      </c>
      <c r="F12" s="2">
        <v>790364</v>
      </c>
    </row>
    <row r="13" spans="1:8" x14ac:dyDescent="0.25">
      <c r="A13">
        <v>12</v>
      </c>
      <c r="B13" t="s">
        <v>19</v>
      </c>
      <c r="C13" s="2">
        <v>1352283</v>
      </c>
      <c r="D13" s="2">
        <v>1440684</v>
      </c>
      <c r="E13" s="2">
        <v>892177</v>
      </c>
      <c r="F13" s="2">
        <v>548507</v>
      </c>
    </row>
    <row r="14" spans="1:8" x14ac:dyDescent="0.25">
      <c r="A14">
        <v>13</v>
      </c>
      <c r="B14" t="s">
        <v>20</v>
      </c>
      <c r="C14" s="2">
        <v>1351822</v>
      </c>
      <c r="D14" s="2">
        <v>1382721</v>
      </c>
      <c r="E14" s="2">
        <v>603858</v>
      </c>
      <c r="F14" s="2">
        <v>778863</v>
      </c>
    </row>
    <row r="15" spans="1:8" x14ac:dyDescent="0.25">
      <c r="A15">
        <v>14</v>
      </c>
      <c r="B15" t="s">
        <v>21</v>
      </c>
      <c r="C15" s="2">
        <v>1228829</v>
      </c>
      <c r="D15" s="2">
        <v>1296103</v>
      </c>
      <c r="E15" s="2">
        <v>729963</v>
      </c>
      <c r="F15" s="2">
        <v>566140</v>
      </c>
    </row>
    <row r="16" spans="1:8" x14ac:dyDescent="0.25">
      <c r="A16">
        <v>15</v>
      </c>
      <c r="B16" t="s">
        <v>22</v>
      </c>
      <c r="C16" s="2">
        <v>1244476</v>
      </c>
      <c r="D16" s="2">
        <v>1259497</v>
      </c>
      <c r="E16" s="2">
        <v>466985</v>
      </c>
      <c r="F16" s="2">
        <v>792512</v>
      </c>
    </row>
    <row r="17" spans="1:6" x14ac:dyDescent="0.25">
      <c r="A17">
        <v>16</v>
      </c>
      <c r="B17" t="s">
        <v>23</v>
      </c>
      <c r="C17" s="2">
        <v>1179032</v>
      </c>
      <c r="D17" s="2">
        <v>1249225</v>
      </c>
      <c r="E17" s="2">
        <v>734462</v>
      </c>
      <c r="F17" s="2">
        <v>514763</v>
      </c>
    </row>
    <row r="18" spans="1:6" x14ac:dyDescent="0.25">
      <c r="A18">
        <v>17</v>
      </c>
      <c r="B18" t="s">
        <v>24</v>
      </c>
      <c r="C18" s="2">
        <v>1160744</v>
      </c>
      <c r="D18" s="2">
        <v>1246166</v>
      </c>
      <c r="E18" s="2">
        <v>707539</v>
      </c>
      <c r="F18" s="2">
        <v>538627</v>
      </c>
    </row>
    <row r="19" spans="1:6" x14ac:dyDescent="0.25">
      <c r="A19">
        <v>18</v>
      </c>
      <c r="B19" t="s">
        <v>25</v>
      </c>
      <c r="C19" s="2">
        <v>1141784</v>
      </c>
      <c r="D19" s="2">
        <v>1162049</v>
      </c>
      <c r="E19" s="2">
        <v>553247</v>
      </c>
      <c r="F19" s="2">
        <v>608802</v>
      </c>
    </row>
    <row r="20" spans="1:6" x14ac:dyDescent="0.25">
      <c r="A20">
        <v>19</v>
      </c>
      <c r="B20" t="s">
        <v>26</v>
      </c>
      <c r="C20" s="2">
        <v>1091821</v>
      </c>
      <c r="D20" s="2">
        <v>1159634</v>
      </c>
      <c r="E20" s="2">
        <v>791227</v>
      </c>
      <c r="F20" s="2">
        <v>368407</v>
      </c>
    </row>
    <row r="21" spans="1:6" x14ac:dyDescent="0.25">
      <c r="A21">
        <v>20</v>
      </c>
      <c r="B21" t="s">
        <v>27</v>
      </c>
      <c r="C21" s="2">
        <v>1035772</v>
      </c>
      <c r="D21" s="2">
        <v>1115051</v>
      </c>
      <c r="E21" s="2">
        <v>764436</v>
      </c>
      <c r="F21" s="2">
        <v>350615</v>
      </c>
    </row>
    <row r="22" spans="1:6" x14ac:dyDescent="0.25">
      <c r="A22">
        <v>21</v>
      </c>
      <c r="B22" t="s">
        <v>28</v>
      </c>
      <c r="C22" s="2">
        <v>1021713</v>
      </c>
      <c r="D22" s="2">
        <v>1066523</v>
      </c>
      <c r="E22" s="2">
        <v>475443</v>
      </c>
      <c r="F22" s="2">
        <v>591080</v>
      </c>
    </row>
    <row r="23" spans="1:6" x14ac:dyDescent="0.25">
      <c r="A23">
        <v>22</v>
      </c>
      <c r="B23" t="s">
        <v>29</v>
      </c>
      <c r="C23" s="2">
        <v>1001598</v>
      </c>
      <c r="D23" s="2">
        <v>1063803</v>
      </c>
      <c r="E23" s="2">
        <v>651241</v>
      </c>
      <c r="F23" s="2">
        <v>412562</v>
      </c>
    </row>
    <row r="24" spans="1:6" x14ac:dyDescent="0.25">
      <c r="A24">
        <v>23</v>
      </c>
      <c r="B24" t="s">
        <v>30</v>
      </c>
      <c r="C24" s="2">
        <v>959315</v>
      </c>
      <c r="D24" s="2">
        <v>1047023</v>
      </c>
      <c r="E24" s="2">
        <v>676001</v>
      </c>
      <c r="F24" s="2">
        <v>371022</v>
      </c>
    </row>
    <row r="25" spans="1:6" x14ac:dyDescent="0.25">
      <c r="A25">
        <v>24</v>
      </c>
      <c r="B25" t="s">
        <v>31</v>
      </c>
      <c r="C25" s="2">
        <v>1021356</v>
      </c>
      <c r="D25" s="2">
        <v>1042855</v>
      </c>
      <c r="E25" s="2">
        <v>545568</v>
      </c>
      <c r="F25" s="2">
        <v>497287</v>
      </c>
    </row>
    <row r="26" spans="1:6" x14ac:dyDescent="0.25">
      <c r="A26">
        <v>25</v>
      </c>
      <c r="B26" t="s">
        <v>32</v>
      </c>
      <c r="C26" s="2">
        <v>903712</v>
      </c>
      <c r="D26" s="2">
        <v>974724</v>
      </c>
      <c r="E26" s="2">
        <v>612237</v>
      </c>
      <c r="F26" s="2">
        <v>362487</v>
      </c>
    </row>
    <row r="27" spans="1:6" x14ac:dyDescent="0.25">
      <c r="A27">
        <v>26</v>
      </c>
      <c r="B27" t="s">
        <v>33</v>
      </c>
      <c r="C27" s="2">
        <v>890457</v>
      </c>
      <c r="D27" s="2">
        <v>910001</v>
      </c>
      <c r="E27" s="2">
        <v>391491</v>
      </c>
      <c r="F27" s="2">
        <v>518510</v>
      </c>
    </row>
    <row r="28" spans="1:6" x14ac:dyDescent="0.25">
      <c r="A28">
        <v>27</v>
      </c>
      <c r="B28" t="s">
        <v>7</v>
      </c>
      <c r="D28" s="2">
        <v>509992</v>
      </c>
      <c r="E28" s="2">
        <v>509992</v>
      </c>
      <c r="F2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29C7-0E83-412E-8E9E-F356322FD8AA}">
  <dimension ref="A1:O30"/>
  <sheetViews>
    <sheetView tabSelected="1" zoomScale="220" zoomScaleNormal="220" workbookViewId="0">
      <selection activeCell="G4" sqref="G4"/>
    </sheetView>
  </sheetViews>
  <sheetFormatPr defaultRowHeight="15" x14ac:dyDescent="0.25"/>
  <cols>
    <col min="1" max="1" width="21.42578125" bestFit="1" customWidth="1"/>
    <col min="2" max="2" width="10.7109375" bestFit="1" customWidth="1"/>
    <col min="3" max="4" width="10.7109375" customWidth="1"/>
    <col min="5" max="5" width="16.7109375" bestFit="1" customWidth="1"/>
    <col min="6" max="7" width="10.7109375" customWidth="1"/>
    <col min="8" max="8" width="12" bestFit="1" customWidth="1"/>
  </cols>
  <sheetData>
    <row r="1" spans="1:15" x14ac:dyDescent="0.25">
      <c r="A1" t="s">
        <v>35</v>
      </c>
      <c r="B1" t="s">
        <v>114</v>
      </c>
      <c r="C1" t="s">
        <v>116</v>
      </c>
      <c r="D1" t="s">
        <v>117</v>
      </c>
      <c r="E1" t="s">
        <v>36</v>
      </c>
      <c r="F1" t="s">
        <v>116</v>
      </c>
      <c r="G1" t="s">
        <v>117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O1" t="s">
        <v>115</v>
      </c>
    </row>
    <row r="2" spans="1:15" x14ac:dyDescent="0.25">
      <c r="A2" t="s">
        <v>42</v>
      </c>
      <c r="B2" s="2">
        <v>20891</v>
      </c>
      <c r="C2" s="2">
        <f>B2</f>
        <v>20891</v>
      </c>
      <c r="D2" s="2"/>
      <c r="E2" s="2">
        <v>1198000</v>
      </c>
      <c r="F2" s="2">
        <f>E2</f>
        <v>1198000</v>
      </c>
      <c r="G2" s="2"/>
      <c r="H2">
        <v>61.8</v>
      </c>
      <c r="I2" t="s">
        <v>43</v>
      </c>
      <c r="J2">
        <v>4</v>
      </c>
      <c r="K2">
        <v>66</v>
      </c>
      <c r="L2" t="s">
        <v>44</v>
      </c>
    </row>
    <row r="3" spans="1:15" x14ac:dyDescent="0.25">
      <c r="A3" t="s">
        <v>45</v>
      </c>
      <c r="B3" s="3">
        <v>31851.3</v>
      </c>
      <c r="C3" s="2"/>
      <c r="D3" s="2">
        <f>B3</f>
        <v>31851.3</v>
      </c>
      <c r="E3" s="2">
        <v>994000</v>
      </c>
      <c r="F3" s="2"/>
      <c r="G3" s="2">
        <f>E3</f>
        <v>994000</v>
      </c>
      <c r="H3">
        <v>34.67</v>
      </c>
      <c r="I3" t="s">
        <v>46</v>
      </c>
      <c r="J3">
        <v>5</v>
      </c>
      <c r="K3">
        <v>57</v>
      </c>
      <c r="L3" t="s">
        <v>47</v>
      </c>
    </row>
    <row r="4" spans="1:15" x14ac:dyDescent="0.25">
      <c r="A4" t="s">
        <v>48</v>
      </c>
      <c r="B4" s="3">
        <v>8093.6</v>
      </c>
      <c r="C4" s="2">
        <f t="shared" ref="C3:C24" si="0">B4</f>
        <v>8093.6</v>
      </c>
      <c r="D4" s="2"/>
      <c r="E4" s="2">
        <v>897000</v>
      </c>
      <c r="F4" s="2">
        <f t="shared" ref="F3:F24" si="1">E4</f>
        <v>897000</v>
      </c>
      <c r="G4" s="2"/>
      <c r="H4">
        <v>111.67</v>
      </c>
      <c r="I4" t="s">
        <v>49</v>
      </c>
      <c r="J4">
        <v>3</v>
      </c>
      <c r="K4">
        <v>52</v>
      </c>
      <c r="L4" t="s">
        <v>50</v>
      </c>
    </row>
    <row r="5" spans="1:15" x14ac:dyDescent="0.25">
      <c r="A5" t="s">
        <v>119</v>
      </c>
      <c r="B5" s="3">
        <v>27000</v>
      </c>
      <c r="C5" s="2"/>
      <c r="D5" s="2">
        <f>B5</f>
        <v>27000</v>
      </c>
      <c r="E5" s="2">
        <v>2480000</v>
      </c>
      <c r="F5" s="2"/>
      <c r="G5" s="2">
        <f>E5</f>
        <v>2480000</v>
      </c>
    </row>
    <row r="6" spans="1:15" x14ac:dyDescent="0.25">
      <c r="A6" t="s">
        <v>51</v>
      </c>
      <c r="B6" s="3">
        <v>31900.5</v>
      </c>
      <c r="C6" s="2"/>
      <c r="D6" s="2">
        <f>B6</f>
        <v>31900.5</v>
      </c>
      <c r="E6" s="2">
        <v>3214000</v>
      </c>
      <c r="F6" s="2"/>
      <c r="G6" s="2">
        <f>E6</f>
        <v>3214000</v>
      </c>
      <c r="H6">
        <v>104.83</v>
      </c>
      <c r="I6" t="s">
        <v>52</v>
      </c>
      <c r="J6">
        <v>7</v>
      </c>
      <c r="K6">
        <v>86</v>
      </c>
      <c r="L6" t="s">
        <v>53</v>
      </c>
    </row>
    <row r="7" spans="1:15" x14ac:dyDescent="0.25">
      <c r="A7" t="s">
        <v>54</v>
      </c>
      <c r="B7" s="3">
        <v>26505.7</v>
      </c>
      <c r="C7" s="2"/>
      <c r="D7" s="2">
        <f t="shared" ref="D7:D26" si="2">B7</f>
        <v>26505.7</v>
      </c>
      <c r="E7" s="2">
        <v>4157000</v>
      </c>
      <c r="F7" s="2"/>
      <c r="G7" s="2">
        <f t="shared" ref="G7:G26" si="3">E7</f>
        <v>4157000</v>
      </c>
      <c r="H7">
        <v>167.81</v>
      </c>
      <c r="I7" t="s">
        <v>55</v>
      </c>
      <c r="J7">
        <v>8</v>
      </c>
      <c r="K7">
        <v>66</v>
      </c>
      <c r="L7" t="s">
        <v>56</v>
      </c>
    </row>
    <row r="8" spans="1:15" x14ac:dyDescent="0.25">
      <c r="A8" t="s">
        <v>57</v>
      </c>
      <c r="B8" s="3">
        <v>13894</v>
      </c>
      <c r="C8" s="2">
        <f t="shared" si="0"/>
        <v>13894</v>
      </c>
      <c r="D8" s="2"/>
      <c r="E8" s="2">
        <v>1382000</v>
      </c>
      <c r="F8" s="2">
        <f t="shared" si="1"/>
        <v>1382000</v>
      </c>
      <c r="G8" s="2"/>
      <c r="H8">
        <v>99.38</v>
      </c>
      <c r="I8" t="s">
        <v>58</v>
      </c>
      <c r="J8">
        <v>6</v>
      </c>
      <c r="K8">
        <v>62</v>
      </c>
      <c r="L8" t="s">
        <v>59</v>
      </c>
    </row>
    <row r="9" spans="1:15" x14ac:dyDescent="0.25">
      <c r="A9" t="s">
        <v>60</v>
      </c>
      <c r="B9" s="3">
        <v>31401.599999999999</v>
      </c>
      <c r="C9" s="2"/>
      <c r="D9" s="2">
        <f t="shared" si="2"/>
        <v>31401.599999999999</v>
      </c>
      <c r="E9" s="2">
        <v>2683000</v>
      </c>
      <c r="F9" s="2"/>
      <c r="G9" s="2">
        <f t="shared" si="3"/>
        <v>2683000</v>
      </c>
      <c r="H9">
        <v>87.74</v>
      </c>
      <c r="I9" t="s">
        <v>61</v>
      </c>
      <c r="J9">
        <v>7</v>
      </c>
      <c r="K9">
        <v>56</v>
      </c>
      <c r="L9" t="s">
        <v>62</v>
      </c>
    </row>
    <row r="10" spans="1:15" x14ac:dyDescent="0.25">
      <c r="A10" t="s">
        <v>63</v>
      </c>
      <c r="B10" s="2">
        <v>28449</v>
      </c>
      <c r="C10" s="2"/>
      <c r="D10" s="2">
        <f>B10</f>
        <v>28449</v>
      </c>
      <c r="E10" s="2">
        <v>1026000</v>
      </c>
      <c r="F10" s="2"/>
      <c r="G10" s="2">
        <f>E10</f>
        <v>1026000</v>
      </c>
      <c r="H10">
        <v>38.35</v>
      </c>
      <c r="I10" t="s">
        <v>64</v>
      </c>
      <c r="J10">
        <v>5</v>
      </c>
      <c r="K10">
        <v>49</v>
      </c>
      <c r="L10" t="s">
        <v>65</v>
      </c>
    </row>
    <row r="11" spans="1:15" x14ac:dyDescent="0.25">
      <c r="A11" t="s">
        <v>66</v>
      </c>
      <c r="B11" s="3">
        <v>20636.2</v>
      </c>
      <c r="C11" s="2">
        <f t="shared" si="0"/>
        <v>20636.2</v>
      </c>
      <c r="D11" s="2"/>
      <c r="E11" s="2">
        <v>1274000</v>
      </c>
      <c r="F11" s="2">
        <f t="shared" si="1"/>
        <v>1274000</v>
      </c>
      <c r="G11" s="2"/>
      <c r="H11">
        <v>64.52</v>
      </c>
      <c r="I11" t="s">
        <v>67</v>
      </c>
      <c r="J11">
        <v>3</v>
      </c>
      <c r="K11">
        <v>60</v>
      </c>
      <c r="L11" t="s">
        <v>68</v>
      </c>
    </row>
    <row r="12" spans="1:15" x14ac:dyDescent="0.25">
      <c r="A12" t="s">
        <v>69</v>
      </c>
      <c r="B12" s="3">
        <v>24577.5</v>
      </c>
      <c r="C12" s="2">
        <f t="shared" si="0"/>
        <v>24577.5</v>
      </c>
      <c r="D12" s="2"/>
      <c r="E12" s="2">
        <v>958000</v>
      </c>
      <c r="F12" s="2">
        <f t="shared" si="1"/>
        <v>958000</v>
      </c>
      <c r="G12" s="2"/>
      <c r="H12">
        <v>41.29</v>
      </c>
      <c r="I12" t="s">
        <v>70</v>
      </c>
      <c r="J12">
        <v>4</v>
      </c>
      <c r="K12">
        <v>49</v>
      </c>
      <c r="L12" t="s">
        <v>71</v>
      </c>
    </row>
    <row r="13" spans="1:15" x14ac:dyDescent="0.25">
      <c r="A13" t="s">
        <v>72</v>
      </c>
      <c r="B13" s="3">
        <v>28118.9</v>
      </c>
      <c r="C13" s="2">
        <f t="shared" si="0"/>
        <v>28118.9</v>
      </c>
      <c r="D13" s="2"/>
      <c r="E13" s="2">
        <v>1775000</v>
      </c>
      <c r="F13" s="2">
        <f t="shared" si="1"/>
        <v>1775000</v>
      </c>
      <c r="G13" s="2"/>
      <c r="H13">
        <v>61.15</v>
      </c>
      <c r="I13" t="s">
        <v>73</v>
      </c>
      <c r="J13">
        <v>7</v>
      </c>
      <c r="K13">
        <v>69</v>
      </c>
      <c r="L13" t="s">
        <v>74</v>
      </c>
    </row>
    <row r="14" spans="1:15" x14ac:dyDescent="0.25">
      <c r="A14" t="s">
        <v>75</v>
      </c>
      <c r="B14" s="3">
        <v>26672.5</v>
      </c>
      <c r="C14" s="2"/>
      <c r="D14" s="2">
        <f t="shared" si="2"/>
        <v>26672.5</v>
      </c>
      <c r="E14" s="2">
        <v>2145000</v>
      </c>
      <c r="F14" s="2"/>
      <c r="G14" s="2">
        <f t="shared" si="3"/>
        <v>2145000</v>
      </c>
      <c r="H14">
        <v>86.25</v>
      </c>
      <c r="I14" t="s">
        <v>76</v>
      </c>
      <c r="J14">
        <v>8</v>
      </c>
      <c r="K14">
        <v>37</v>
      </c>
      <c r="L14" t="s">
        <v>77</v>
      </c>
    </row>
    <row r="15" spans="1:15" x14ac:dyDescent="0.25">
      <c r="A15" t="s">
        <v>78</v>
      </c>
      <c r="B15" s="3">
        <v>21823.7</v>
      </c>
      <c r="C15" s="2">
        <f t="shared" si="0"/>
        <v>21823.7</v>
      </c>
      <c r="D15" s="2"/>
      <c r="E15" s="2">
        <v>2515000</v>
      </c>
      <c r="F15" s="2">
        <f t="shared" si="1"/>
        <v>2515000</v>
      </c>
      <c r="G15" s="2"/>
      <c r="H15">
        <v>116.65</v>
      </c>
      <c r="I15" t="s">
        <v>79</v>
      </c>
      <c r="J15">
        <v>7</v>
      </c>
      <c r="K15">
        <v>73</v>
      </c>
      <c r="L15" t="s">
        <v>80</v>
      </c>
    </row>
    <row r="16" spans="1:15" x14ac:dyDescent="0.25">
      <c r="A16" t="s">
        <v>81</v>
      </c>
      <c r="B16" s="3">
        <v>24587.4</v>
      </c>
      <c r="C16" s="2"/>
      <c r="D16" s="2">
        <f t="shared" si="2"/>
        <v>24587.4</v>
      </c>
      <c r="E16" s="2">
        <v>1126000</v>
      </c>
      <c r="F16" s="2"/>
      <c r="G16" s="2">
        <f t="shared" si="3"/>
        <v>1126000</v>
      </c>
      <c r="H16">
        <v>48.25</v>
      </c>
      <c r="I16" t="s">
        <v>82</v>
      </c>
      <c r="J16">
        <v>4</v>
      </c>
      <c r="K16">
        <v>52</v>
      </c>
      <c r="L16" t="s">
        <v>83</v>
      </c>
    </row>
    <row r="17" spans="1:12" x14ac:dyDescent="0.25">
      <c r="A17" t="s">
        <v>84</v>
      </c>
      <c r="B17" s="3">
        <v>33295.9</v>
      </c>
      <c r="C17" s="2"/>
      <c r="D17" s="2">
        <f>B17</f>
        <v>33295.9</v>
      </c>
      <c r="E17" s="2">
        <v>2395000</v>
      </c>
      <c r="F17" s="2"/>
      <c r="G17" s="2">
        <f>E17</f>
        <v>2395000</v>
      </c>
      <c r="H17">
        <v>71.709999999999994</v>
      </c>
      <c r="I17" t="s">
        <v>85</v>
      </c>
      <c r="J17">
        <v>7</v>
      </c>
      <c r="K17">
        <v>91</v>
      </c>
      <c r="L17" t="s">
        <v>86</v>
      </c>
    </row>
    <row r="18" spans="1:12" x14ac:dyDescent="0.25">
      <c r="A18" t="s">
        <v>87</v>
      </c>
      <c r="B18" s="3">
        <v>28735.8</v>
      </c>
      <c r="C18" s="2">
        <f t="shared" si="0"/>
        <v>28735.8</v>
      </c>
      <c r="D18" s="2"/>
      <c r="E18" s="2">
        <v>1392000</v>
      </c>
      <c r="F18" s="2">
        <f t="shared" si="1"/>
        <v>1392000</v>
      </c>
      <c r="G18" s="2"/>
      <c r="H18">
        <v>51.98</v>
      </c>
      <c r="I18" t="s">
        <v>88</v>
      </c>
      <c r="J18">
        <v>4</v>
      </c>
      <c r="K18">
        <v>60</v>
      </c>
      <c r="L18" t="s">
        <v>89</v>
      </c>
    </row>
    <row r="19" spans="1:12" x14ac:dyDescent="0.25">
      <c r="A19" t="s">
        <v>90</v>
      </c>
      <c r="B19" s="3">
        <v>20038.5</v>
      </c>
      <c r="C19" s="2">
        <f t="shared" si="0"/>
        <v>20038.5</v>
      </c>
      <c r="D19" s="2"/>
      <c r="E19" s="2">
        <v>1146000</v>
      </c>
      <c r="F19" s="2">
        <f t="shared" si="1"/>
        <v>1146000</v>
      </c>
      <c r="G19" s="2"/>
      <c r="H19">
        <v>57.52</v>
      </c>
      <c r="I19" t="s">
        <v>91</v>
      </c>
      <c r="J19">
        <v>4</v>
      </c>
      <c r="K19">
        <v>64</v>
      </c>
      <c r="L19" t="s">
        <v>92</v>
      </c>
    </row>
    <row r="20" spans="1:12" x14ac:dyDescent="0.25">
      <c r="A20" t="s">
        <v>93</v>
      </c>
      <c r="B20" s="3">
        <v>23823.9</v>
      </c>
      <c r="C20" s="2"/>
      <c r="D20" s="2">
        <f t="shared" si="2"/>
        <v>23823.9</v>
      </c>
      <c r="E20" s="2">
        <v>1094000</v>
      </c>
      <c r="F20" s="2"/>
      <c r="G20" s="2">
        <f t="shared" si="3"/>
        <v>1094000</v>
      </c>
      <c r="H20">
        <v>48.97</v>
      </c>
      <c r="I20" t="s">
        <v>94</v>
      </c>
      <c r="J20">
        <v>5</v>
      </c>
      <c r="K20">
        <v>51</v>
      </c>
      <c r="L20" t="s">
        <v>95</v>
      </c>
    </row>
    <row r="21" spans="1:12" x14ac:dyDescent="0.25">
      <c r="A21" t="s">
        <v>96</v>
      </c>
      <c r="B21" s="3">
        <v>13817.1</v>
      </c>
      <c r="C21" s="2">
        <f t="shared" si="0"/>
        <v>13817.1</v>
      </c>
      <c r="D21" s="2"/>
      <c r="E21" s="2">
        <v>1035000</v>
      </c>
      <c r="F21" s="2">
        <f t="shared" si="1"/>
        <v>1035000</v>
      </c>
      <c r="G21" s="2"/>
      <c r="H21">
        <v>78.650000000000006</v>
      </c>
      <c r="I21" t="s">
        <v>97</v>
      </c>
      <c r="J21">
        <v>3</v>
      </c>
      <c r="K21">
        <v>55</v>
      </c>
      <c r="L21" t="s">
        <v>98</v>
      </c>
    </row>
    <row r="22" spans="1:12" x14ac:dyDescent="0.25">
      <c r="A22" t="s">
        <v>99</v>
      </c>
      <c r="B22" s="3">
        <v>26501.599999999999</v>
      </c>
      <c r="C22" s="2">
        <f t="shared" si="0"/>
        <v>26501.599999999999</v>
      </c>
      <c r="D22" s="2"/>
      <c r="E22" s="2">
        <v>1566000</v>
      </c>
      <c r="F22" s="2">
        <f t="shared" si="1"/>
        <v>1566000</v>
      </c>
      <c r="G22" s="2"/>
      <c r="H22">
        <v>62.12</v>
      </c>
      <c r="I22" t="s">
        <v>100</v>
      </c>
      <c r="J22">
        <v>6</v>
      </c>
      <c r="K22">
        <v>63</v>
      </c>
      <c r="L22" t="s">
        <v>101</v>
      </c>
    </row>
    <row r="23" spans="1:12" x14ac:dyDescent="0.25">
      <c r="A23" t="s">
        <v>102</v>
      </c>
      <c r="B23" s="3">
        <v>20135.3</v>
      </c>
      <c r="C23" s="2">
        <f t="shared" si="0"/>
        <v>20135.3</v>
      </c>
      <c r="D23" s="2"/>
      <c r="E23" s="2">
        <v>1046000</v>
      </c>
      <c r="F23" s="2">
        <f t="shared" si="1"/>
        <v>1046000</v>
      </c>
      <c r="G23" s="2"/>
      <c r="H23">
        <v>51.56</v>
      </c>
      <c r="I23" t="s">
        <v>103</v>
      </c>
      <c r="J23">
        <v>4</v>
      </c>
      <c r="K23">
        <v>54</v>
      </c>
      <c r="L23" t="s">
        <v>104</v>
      </c>
    </row>
    <row r="24" spans="1:12" x14ac:dyDescent="0.25">
      <c r="A24" t="s">
        <v>105</v>
      </c>
      <c r="B24" s="3">
        <v>12771.5</v>
      </c>
      <c r="C24" s="2">
        <f t="shared" si="0"/>
        <v>12771.5</v>
      </c>
      <c r="D24" s="2"/>
      <c r="E24" s="2">
        <v>1247000</v>
      </c>
      <c r="F24" s="2">
        <f t="shared" si="1"/>
        <v>1247000</v>
      </c>
      <c r="G24" s="2"/>
      <c r="H24">
        <v>97.59</v>
      </c>
      <c r="I24" t="s">
        <v>106</v>
      </c>
      <c r="J24">
        <v>6</v>
      </c>
      <c r="K24">
        <v>64</v>
      </c>
      <c r="L24" t="s">
        <v>107</v>
      </c>
    </row>
    <row r="25" spans="1:12" x14ac:dyDescent="0.25">
      <c r="A25" t="s">
        <v>108</v>
      </c>
      <c r="B25" s="3">
        <v>27168.5</v>
      </c>
      <c r="C25" s="2"/>
      <c r="D25" s="2">
        <f t="shared" si="2"/>
        <v>27168.5</v>
      </c>
      <c r="E25" s="2">
        <v>1699000</v>
      </c>
      <c r="F25" s="2"/>
      <c r="G25" s="2">
        <f t="shared" si="3"/>
        <v>1699000</v>
      </c>
      <c r="H25">
        <v>66.45</v>
      </c>
      <c r="I25" t="s">
        <v>109</v>
      </c>
      <c r="J25">
        <v>5</v>
      </c>
      <c r="K25">
        <v>67</v>
      </c>
      <c r="L25" t="s">
        <v>110</v>
      </c>
    </row>
    <row r="26" spans="1:12" x14ac:dyDescent="0.25">
      <c r="A26" t="s">
        <v>111</v>
      </c>
      <c r="B26" s="3">
        <v>29819.200000000001</v>
      </c>
      <c r="C26" s="2">
        <f>B26</f>
        <v>29819.200000000001</v>
      </c>
      <c r="D26" s="2"/>
      <c r="E26" s="2">
        <v>1213000</v>
      </c>
      <c r="F26" s="2">
        <f>E26</f>
        <v>1213000</v>
      </c>
      <c r="G26" s="2"/>
      <c r="H26">
        <v>43.03</v>
      </c>
      <c r="I26" t="s">
        <v>112</v>
      </c>
      <c r="J26">
        <v>4</v>
      </c>
      <c r="K26">
        <v>65</v>
      </c>
      <c r="L26" t="s">
        <v>113</v>
      </c>
    </row>
    <row r="27" spans="1:12" x14ac:dyDescent="0.25">
      <c r="A27" s="1" t="s">
        <v>120</v>
      </c>
      <c r="B27" s="2">
        <f>SUM(B2:B26)</f>
        <v>602510.20000000007</v>
      </c>
      <c r="C27" s="2">
        <f>SUM(C2:C26)</f>
        <v>289853.90000000002</v>
      </c>
      <c r="D27" s="2">
        <f>SUM(D2:D26)</f>
        <v>312656.3</v>
      </c>
      <c r="E27" s="2">
        <f>SUM(E2:E26)</f>
        <v>41657000</v>
      </c>
      <c r="F27" s="2">
        <f>SUM(F2:F26)</f>
        <v>18644000</v>
      </c>
      <c r="G27" s="2">
        <f>SUM(G2:G26)</f>
        <v>23013000</v>
      </c>
    </row>
    <row r="28" spans="1:12" x14ac:dyDescent="0.25">
      <c r="A28" s="1" t="s">
        <v>118</v>
      </c>
      <c r="B28">
        <f>B27*100/$B$27</f>
        <v>100</v>
      </c>
      <c r="C28" s="4">
        <f>C27*100/$B$27</f>
        <v>48.107716682638731</v>
      </c>
      <c r="D28" s="4">
        <f>D27*100/$B$27</f>
        <v>51.892283317361262</v>
      </c>
      <c r="E28">
        <f>E27*100/$E$27</f>
        <v>100</v>
      </c>
      <c r="F28" s="4">
        <f t="shared" ref="F28:G28" si="4">F27*100/$E$27</f>
        <v>44.755983388146049</v>
      </c>
      <c r="G28" s="4">
        <f t="shared" si="4"/>
        <v>55.244016611853951</v>
      </c>
    </row>
    <row r="29" spans="1:12" x14ac:dyDescent="0.25">
      <c r="D29" s="4"/>
    </row>
    <row r="30" spans="1:12" x14ac:dyDescent="0.25"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2025-11-21T12:47:45Z</dcterms:created>
  <dcterms:modified xsi:type="dcterms:W3CDTF">2025-11-21T13:44:38Z</dcterms:modified>
</cp:coreProperties>
</file>